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FF0A1F44"/>
      <sz val="14"/>
    </font>
    <font>
      <i val="1"/>
      <color rgb="FF64748B"/>
      <sz val="9"/>
    </font>
    <font>
      <b val="1"/>
      <color rgb="FFFFFFFF"/>
      <sz val="10"/>
    </font>
    <font>
      <b val="1"/>
      <color rgb="FF0A1F44"/>
    </font>
    <font>
      <color rgb="FF334155"/>
      <sz val="10"/>
    </font>
  </fonts>
  <fills count="3">
    <fill>
      <patternFill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0" customWidth="1" min="4" max="4"/>
    <col width="18" customWidth="1" min="5" max="5"/>
    <col width="18" customWidth="1" min="6" max="6"/>
    <col width="12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4" customWidth="1" min="13" max="13"/>
  </cols>
  <sheetData>
    <row r="1" ht="20" customHeight="1">
      <c r="A1" s="1" t="inlineStr">
        <is>
          <t>Contribution Tracker</t>
        </is>
      </c>
    </row>
    <row r="2">
      <c r="A2" s="2" t="inlineStr">
        <is>
          <t>Grant for Congress (MO-02) — log every receipt. Itemize donors over $200 aggregate.</t>
        </is>
      </c>
    </row>
    <row r="4">
      <c r="A4" s="3" t="inlineStr">
        <is>
          <t>Date</t>
        </is>
      </c>
      <c r="B4" s="3" t="inlineStr">
        <is>
          <t>Donor Name</t>
        </is>
      </c>
      <c r="C4" s="3" t="inlineStr">
        <is>
          <t>Address</t>
        </is>
      </c>
      <c r="D4" s="3" t="inlineStr">
        <is>
          <t>City/State/ZIP</t>
        </is>
      </c>
      <c r="E4" s="3" t="inlineStr">
        <is>
          <t>Occupation</t>
        </is>
      </c>
      <c r="F4" s="3" t="inlineStr">
        <is>
          <t>Employer</t>
        </is>
      </c>
      <c r="G4" s="3" t="inlineStr">
        <is>
          <t>Amount</t>
        </is>
      </c>
      <c r="H4" s="3" t="inlineStr">
        <is>
          <t>Election</t>
        </is>
      </c>
      <c r="I4" s="3" t="inlineStr">
        <is>
          <t>Method</t>
        </is>
      </c>
      <c r="J4" s="3" t="inlineStr">
        <is>
          <t>Aggregate to Date</t>
        </is>
      </c>
      <c r="K4" s="3" t="inlineStr">
        <is>
          <t>Itemize? (&gt;$200)</t>
        </is>
      </c>
      <c r="L4" s="3" t="inlineStr">
        <is>
          <t>Refund/Redesig.</t>
        </is>
      </c>
      <c r="M4" s="3" t="inlineStr">
        <is>
          <t>Notes</t>
        </is>
      </c>
    </row>
    <row r="5">
      <c r="G5" s="4" t="n"/>
      <c r="J5" s="4">
        <f>IF(B5="","",SUMIF($B$5:$B$204,B5,$G$5:$G$204))</f>
        <v/>
      </c>
      <c r="K5">
        <f>IF(J5="","",IF(J5&gt;200,"YES",""))</f>
        <v/>
      </c>
    </row>
    <row r="6">
      <c r="G6" s="4" t="n"/>
      <c r="J6" s="4">
        <f>IF(B6="","",SUMIF($B$5:$B$204,B6,$G$5:$G$204))</f>
        <v/>
      </c>
      <c r="K6">
        <f>IF(J6="","",IF(J6&gt;200,"YES",""))</f>
        <v/>
      </c>
    </row>
    <row r="7">
      <c r="G7" s="4" t="n"/>
      <c r="J7" s="4">
        <f>IF(B7="","",SUMIF($B$5:$B$204,B7,$G$5:$G$204))</f>
        <v/>
      </c>
      <c r="K7">
        <f>IF(J7="","",IF(J7&gt;200,"YES",""))</f>
        <v/>
      </c>
    </row>
    <row r="8">
      <c r="G8" s="4" t="n"/>
      <c r="J8" s="4">
        <f>IF(B8="","",SUMIF($B$5:$B$204,B8,$G$5:$G$204))</f>
        <v/>
      </c>
      <c r="K8">
        <f>IF(J8="","",IF(J8&gt;200,"YES",""))</f>
        <v/>
      </c>
    </row>
    <row r="9">
      <c r="G9" s="4" t="n"/>
      <c r="J9" s="4">
        <f>IF(B9="","",SUMIF($B$5:$B$204,B9,$G$5:$G$204))</f>
        <v/>
      </c>
      <c r="K9">
        <f>IF(J9="","",IF(J9&gt;200,"YES",""))</f>
        <v/>
      </c>
    </row>
    <row r="10">
      <c r="G10" s="4" t="n"/>
      <c r="J10" s="4">
        <f>IF(B10="","",SUMIF($B$5:$B$204,B10,$G$5:$G$204))</f>
        <v/>
      </c>
      <c r="K10">
        <f>IF(J10="","",IF(J10&gt;200,"YES",""))</f>
        <v/>
      </c>
    </row>
    <row r="11">
      <c r="G11" s="4" t="n"/>
      <c r="J11" s="4">
        <f>IF(B11="","",SUMIF($B$5:$B$204,B11,$G$5:$G$204))</f>
        <v/>
      </c>
      <c r="K11">
        <f>IF(J11="","",IF(J11&gt;200,"YES",""))</f>
        <v/>
      </c>
    </row>
    <row r="12">
      <c r="G12" s="4" t="n"/>
      <c r="J12" s="4">
        <f>IF(B12="","",SUMIF($B$5:$B$204,B12,$G$5:$G$204))</f>
        <v/>
      </c>
      <c r="K12">
        <f>IF(J12="","",IF(J12&gt;200,"YES",""))</f>
        <v/>
      </c>
    </row>
    <row r="13">
      <c r="G13" s="4" t="n"/>
      <c r="J13" s="4">
        <f>IF(B13="","",SUMIF($B$5:$B$204,B13,$G$5:$G$204))</f>
        <v/>
      </c>
      <c r="K13">
        <f>IF(J13="","",IF(J13&gt;200,"YES",""))</f>
        <v/>
      </c>
    </row>
    <row r="14">
      <c r="G14" s="4" t="n"/>
      <c r="J14" s="4">
        <f>IF(B14="","",SUMIF($B$5:$B$204,B14,$G$5:$G$204))</f>
        <v/>
      </c>
      <c r="K14">
        <f>IF(J14="","",IF(J14&gt;200,"YES",""))</f>
        <v/>
      </c>
    </row>
    <row r="15">
      <c r="G15" s="4" t="n"/>
      <c r="J15" s="4">
        <f>IF(B15="","",SUMIF($B$5:$B$204,B15,$G$5:$G$204))</f>
        <v/>
      </c>
      <c r="K15">
        <f>IF(J15="","",IF(J15&gt;200,"YES",""))</f>
        <v/>
      </c>
    </row>
    <row r="16">
      <c r="G16" s="4" t="n"/>
      <c r="J16" s="4">
        <f>IF(B16="","",SUMIF($B$5:$B$204,B16,$G$5:$G$204))</f>
        <v/>
      </c>
      <c r="K16">
        <f>IF(J16="","",IF(J16&gt;200,"YES",""))</f>
        <v/>
      </c>
    </row>
    <row r="17">
      <c r="G17" s="4" t="n"/>
      <c r="J17" s="4">
        <f>IF(B17="","",SUMIF($B$5:$B$204,B17,$G$5:$G$204))</f>
        <v/>
      </c>
      <c r="K17">
        <f>IF(J17="","",IF(J17&gt;200,"YES",""))</f>
        <v/>
      </c>
    </row>
    <row r="18">
      <c r="G18" s="4" t="n"/>
      <c r="J18" s="4">
        <f>IF(B18="","",SUMIF($B$5:$B$204,B18,$G$5:$G$204))</f>
        <v/>
      </c>
      <c r="K18">
        <f>IF(J18="","",IF(J18&gt;200,"YES",""))</f>
        <v/>
      </c>
    </row>
    <row r="19">
      <c r="G19" s="4" t="n"/>
      <c r="J19" s="4">
        <f>IF(B19="","",SUMIF($B$5:$B$204,B19,$G$5:$G$204))</f>
        <v/>
      </c>
      <c r="K19">
        <f>IF(J19="","",IF(J19&gt;200,"YES",""))</f>
        <v/>
      </c>
    </row>
    <row r="20">
      <c r="G20" s="4" t="n"/>
      <c r="J20" s="4">
        <f>IF(B20="","",SUMIF($B$5:$B$204,B20,$G$5:$G$204))</f>
        <v/>
      </c>
      <c r="K20">
        <f>IF(J20="","",IF(J20&gt;200,"YES",""))</f>
        <v/>
      </c>
    </row>
    <row r="21">
      <c r="G21" s="4" t="n"/>
      <c r="J21" s="4">
        <f>IF(B21="","",SUMIF($B$5:$B$204,B21,$G$5:$G$204))</f>
        <v/>
      </c>
      <c r="K21">
        <f>IF(J21="","",IF(J21&gt;200,"YES",""))</f>
        <v/>
      </c>
    </row>
    <row r="22">
      <c r="G22" s="4" t="n"/>
      <c r="J22" s="4">
        <f>IF(B22="","",SUMIF($B$5:$B$204,B22,$G$5:$G$204))</f>
        <v/>
      </c>
      <c r="K22">
        <f>IF(J22="","",IF(J22&gt;200,"YES",""))</f>
        <v/>
      </c>
    </row>
    <row r="23">
      <c r="G23" s="4" t="n"/>
      <c r="J23" s="4">
        <f>IF(B23="","",SUMIF($B$5:$B$204,B23,$G$5:$G$204))</f>
        <v/>
      </c>
      <c r="K23">
        <f>IF(J23="","",IF(J23&gt;200,"YES",""))</f>
        <v/>
      </c>
    </row>
    <row r="24">
      <c r="G24" s="4" t="n"/>
      <c r="J24" s="4">
        <f>IF(B24="","",SUMIF($B$5:$B$204,B24,$G$5:$G$204))</f>
        <v/>
      </c>
      <c r="K24">
        <f>IF(J24="","",IF(J24&gt;200,"YES",""))</f>
        <v/>
      </c>
    </row>
    <row r="25">
      <c r="G25" s="4" t="n"/>
      <c r="J25" s="4">
        <f>IF(B25="","",SUMIF($B$5:$B$204,B25,$G$5:$G$204))</f>
        <v/>
      </c>
      <c r="K25">
        <f>IF(J25="","",IF(J25&gt;200,"YES",""))</f>
        <v/>
      </c>
    </row>
    <row r="26">
      <c r="G26" s="4" t="n"/>
      <c r="J26" s="4">
        <f>IF(B26="","",SUMIF($B$5:$B$204,B26,$G$5:$G$204))</f>
        <v/>
      </c>
      <c r="K26">
        <f>IF(J26="","",IF(J26&gt;200,"YES",""))</f>
        <v/>
      </c>
    </row>
    <row r="27">
      <c r="G27" s="4" t="n"/>
      <c r="J27" s="4">
        <f>IF(B27="","",SUMIF($B$5:$B$204,B27,$G$5:$G$204))</f>
        <v/>
      </c>
      <c r="K27">
        <f>IF(J27="","",IF(J27&gt;200,"YES",""))</f>
        <v/>
      </c>
    </row>
    <row r="28">
      <c r="G28" s="4" t="n"/>
      <c r="J28" s="4">
        <f>IF(B28="","",SUMIF($B$5:$B$204,B28,$G$5:$G$204))</f>
        <v/>
      </c>
      <c r="K28">
        <f>IF(J28="","",IF(J28&gt;200,"YES",""))</f>
        <v/>
      </c>
    </row>
    <row r="29">
      <c r="G29" s="4" t="n"/>
      <c r="J29" s="4">
        <f>IF(B29="","",SUMIF($B$5:$B$204,B29,$G$5:$G$204))</f>
        <v/>
      </c>
      <c r="K29">
        <f>IF(J29="","",IF(J29&gt;200,"YES",""))</f>
        <v/>
      </c>
    </row>
    <row r="30">
      <c r="G30" s="4" t="n"/>
      <c r="J30" s="4">
        <f>IF(B30="","",SUMIF($B$5:$B$204,B30,$G$5:$G$204))</f>
        <v/>
      </c>
      <c r="K30">
        <f>IF(J30="","",IF(J30&gt;200,"YES",""))</f>
        <v/>
      </c>
    </row>
    <row r="31">
      <c r="G31" s="4" t="n"/>
      <c r="J31" s="4">
        <f>IF(B31="","",SUMIF($B$5:$B$204,B31,$G$5:$G$204))</f>
        <v/>
      </c>
      <c r="K31">
        <f>IF(J31="","",IF(J31&gt;200,"YES",""))</f>
        <v/>
      </c>
    </row>
    <row r="32">
      <c r="G32" s="4" t="n"/>
      <c r="J32" s="4">
        <f>IF(B32="","",SUMIF($B$5:$B$204,B32,$G$5:$G$204))</f>
        <v/>
      </c>
      <c r="K32">
        <f>IF(J32="","",IF(J32&gt;200,"YES",""))</f>
        <v/>
      </c>
    </row>
    <row r="33">
      <c r="G33" s="4" t="n"/>
      <c r="J33" s="4">
        <f>IF(B33="","",SUMIF($B$5:$B$204,B33,$G$5:$G$204))</f>
        <v/>
      </c>
      <c r="K33">
        <f>IF(J33="","",IF(J33&gt;200,"YES",""))</f>
        <v/>
      </c>
    </row>
    <row r="34">
      <c r="G34" s="4" t="n"/>
      <c r="J34" s="4">
        <f>IF(B34="","",SUMIF($B$5:$B$204,B34,$G$5:$G$204))</f>
        <v/>
      </c>
      <c r="K34">
        <f>IF(J34="","",IF(J34&gt;200,"YES",""))</f>
        <v/>
      </c>
    </row>
    <row r="35">
      <c r="G35" s="4" t="n"/>
      <c r="J35" s="4">
        <f>IF(B35="","",SUMIF($B$5:$B$204,B35,$G$5:$G$204))</f>
        <v/>
      </c>
      <c r="K35">
        <f>IF(J35="","",IF(J35&gt;200,"YES",""))</f>
        <v/>
      </c>
    </row>
    <row r="36">
      <c r="G36" s="4" t="n"/>
      <c r="J36" s="4">
        <f>IF(B36="","",SUMIF($B$5:$B$204,B36,$G$5:$G$204))</f>
        <v/>
      </c>
      <c r="K36">
        <f>IF(J36="","",IF(J36&gt;200,"YES",""))</f>
        <v/>
      </c>
    </row>
    <row r="37">
      <c r="G37" s="4" t="n"/>
      <c r="J37" s="4">
        <f>IF(B37="","",SUMIF($B$5:$B$204,B37,$G$5:$G$204))</f>
        <v/>
      </c>
      <c r="K37">
        <f>IF(J37="","",IF(J37&gt;200,"YES",""))</f>
        <v/>
      </c>
    </row>
    <row r="38">
      <c r="G38" s="4" t="n"/>
      <c r="J38" s="4">
        <f>IF(B38="","",SUMIF($B$5:$B$204,B38,$G$5:$G$204))</f>
        <v/>
      </c>
      <c r="K38">
        <f>IF(J38="","",IF(J38&gt;200,"YES",""))</f>
        <v/>
      </c>
    </row>
    <row r="39">
      <c r="G39" s="4" t="n"/>
      <c r="J39" s="4">
        <f>IF(B39="","",SUMIF($B$5:$B$204,B39,$G$5:$G$204))</f>
        <v/>
      </c>
      <c r="K39">
        <f>IF(J39="","",IF(J39&gt;200,"YES",""))</f>
        <v/>
      </c>
    </row>
    <row r="40">
      <c r="G40" s="4" t="n"/>
      <c r="J40" s="4">
        <f>IF(B40="","",SUMIF($B$5:$B$204,B40,$G$5:$G$204))</f>
        <v/>
      </c>
      <c r="K40">
        <f>IF(J40="","",IF(J40&gt;200,"YES",""))</f>
        <v/>
      </c>
    </row>
    <row r="41">
      <c r="G41" s="4" t="n"/>
      <c r="J41" s="4">
        <f>IF(B41="","",SUMIF($B$5:$B$204,B41,$G$5:$G$204))</f>
        <v/>
      </c>
      <c r="K41">
        <f>IF(J41="","",IF(J41&gt;200,"YES",""))</f>
        <v/>
      </c>
    </row>
    <row r="42">
      <c r="G42" s="4" t="n"/>
      <c r="J42" s="4">
        <f>IF(B42="","",SUMIF($B$5:$B$204,B42,$G$5:$G$204))</f>
        <v/>
      </c>
      <c r="K42">
        <f>IF(J42="","",IF(J42&gt;200,"YES",""))</f>
        <v/>
      </c>
    </row>
    <row r="43">
      <c r="G43" s="4" t="n"/>
      <c r="J43" s="4">
        <f>IF(B43="","",SUMIF($B$5:$B$204,B43,$G$5:$G$204))</f>
        <v/>
      </c>
      <c r="K43">
        <f>IF(J43="","",IF(J43&gt;200,"YES",""))</f>
        <v/>
      </c>
    </row>
    <row r="44">
      <c r="G44" s="4" t="n"/>
      <c r="J44" s="4">
        <f>IF(B44="","",SUMIF($B$5:$B$204,B44,$G$5:$G$204))</f>
        <v/>
      </c>
      <c r="K44">
        <f>IF(J44="","",IF(J44&gt;200,"YES",""))</f>
        <v/>
      </c>
    </row>
    <row r="45">
      <c r="G45" s="4" t="n"/>
      <c r="J45" s="4">
        <f>IF(B45="","",SUMIF($B$5:$B$204,B45,$G$5:$G$204))</f>
        <v/>
      </c>
      <c r="K45">
        <f>IF(J45="","",IF(J45&gt;200,"YES",""))</f>
        <v/>
      </c>
    </row>
    <row r="46">
      <c r="G46" s="4" t="n"/>
      <c r="J46" s="4">
        <f>IF(B46="","",SUMIF($B$5:$B$204,B46,$G$5:$G$204))</f>
        <v/>
      </c>
      <c r="K46">
        <f>IF(J46="","",IF(J46&gt;200,"YES",""))</f>
        <v/>
      </c>
    </row>
    <row r="47">
      <c r="G47" s="4" t="n"/>
      <c r="J47" s="4">
        <f>IF(B47="","",SUMIF($B$5:$B$204,B47,$G$5:$G$204))</f>
        <v/>
      </c>
      <c r="K47">
        <f>IF(J47="","",IF(J47&gt;200,"YES",""))</f>
        <v/>
      </c>
    </row>
    <row r="48">
      <c r="G48" s="4" t="n"/>
      <c r="J48" s="4">
        <f>IF(B48="","",SUMIF($B$5:$B$204,B48,$G$5:$G$204))</f>
        <v/>
      </c>
      <c r="K48">
        <f>IF(J48="","",IF(J48&gt;200,"YES",""))</f>
        <v/>
      </c>
    </row>
    <row r="49">
      <c r="G49" s="4" t="n"/>
      <c r="J49" s="4">
        <f>IF(B49="","",SUMIF($B$5:$B$204,B49,$G$5:$G$204))</f>
        <v/>
      </c>
      <c r="K49">
        <f>IF(J49="","",IF(J49&gt;200,"YES",""))</f>
        <v/>
      </c>
    </row>
    <row r="50">
      <c r="G50" s="4" t="n"/>
      <c r="J50" s="4">
        <f>IF(B50="","",SUMIF($B$5:$B$204,B50,$G$5:$G$204))</f>
        <v/>
      </c>
      <c r="K50">
        <f>IF(J50="","",IF(J50&gt;200,"YES",""))</f>
        <v/>
      </c>
    </row>
    <row r="51">
      <c r="G51" s="4" t="n"/>
      <c r="J51" s="4">
        <f>IF(B51="","",SUMIF($B$5:$B$204,B51,$G$5:$G$204))</f>
        <v/>
      </c>
      <c r="K51">
        <f>IF(J51="","",IF(J51&gt;200,"YES",""))</f>
        <v/>
      </c>
    </row>
    <row r="52">
      <c r="G52" s="4" t="n"/>
      <c r="J52" s="4">
        <f>IF(B52="","",SUMIF($B$5:$B$204,B52,$G$5:$G$204))</f>
        <v/>
      </c>
      <c r="K52">
        <f>IF(J52="","",IF(J52&gt;200,"YES",""))</f>
        <v/>
      </c>
    </row>
    <row r="53">
      <c r="G53" s="4" t="n"/>
      <c r="J53" s="4">
        <f>IF(B53="","",SUMIF($B$5:$B$204,B53,$G$5:$G$204))</f>
        <v/>
      </c>
      <c r="K53">
        <f>IF(J53="","",IF(J53&gt;200,"YES",""))</f>
        <v/>
      </c>
    </row>
    <row r="54">
      <c r="G54" s="4" t="n"/>
      <c r="J54" s="4">
        <f>IF(B54="","",SUMIF($B$5:$B$204,B54,$G$5:$G$204))</f>
        <v/>
      </c>
      <c r="K54">
        <f>IF(J54="","",IF(J54&gt;200,"YES",""))</f>
        <v/>
      </c>
    </row>
    <row r="55">
      <c r="G55" s="4" t="n"/>
      <c r="J55" s="4">
        <f>IF(B55="","",SUMIF($B$5:$B$204,B55,$G$5:$G$204))</f>
        <v/>
      </c>
      <c r="K55">
        <f>IF(J55="","",IF(J55&gt;200,"YES",""))</f>
        <v/>
      </c>
    </row>
    <row r="56">
      <c r="G56" s="4" t="n"/>
      <c r="J56" s="4">
        <f>IF(B56="","",SUMIF($B$5:$B$204,B56,$G$5:$G$204))</f>
        <v/>
      </c>
      <c r="K56">
        <f>IF(J56="","",IF(J56&gt;200,"YES",""))</f>
        <v/>
      </c>
    </row>
    <row r="57">
      <c r="G57" s="4" t="n"/>
      <c r="J57" s="4">
        <f>IF(B57="","",SUMIF($B$5:$B$204,B57,$G$5:$G$204))</f>
        <v/>
      </c>
      <c r="K57">
        <f>IF(J57="","",IF(J57&gt;200,"YES",""))</f>
        <v/>
      </c>
    </row>
    <row r="58">
      <c r="G58" s="4" t="n"/>
      <c r="J58" s="4">
        <f>IF(B58="","",SUMIF($B$5:$B$204,B58,$G$5:$G$204))</f>
        <v/>
      </c>
      <c r="K58">
        <f>IF(J58="","",IF(J58&gt;200,"YES",""))</f>
        <v/>
      </c>
    </row>
    <row r="59">
      <c r="G59" s="4" t="n"/>
      <c r="J59" s="4">
        <f>IF(B59="","",SUMIF($B$5:$B$204,B59,$G$5:$G$204))</f>
        <v/>
      </c>
      <c r="K59">
        <f>IF(J59="","",IF(J59&gt;200,"YES",""))</f>
        <v/>
      </c>
    </row>
    <row r="60">
      <c r="G60" s="4" t="n"/>
      <c r="J60" s="4">
        <f>IF(B60="","",SUMIF($B$5:$B$204,B60,$G$5:$G$204))</f>
        <v/>
      </c>
      <c r="K60">
        <f>IF(J60="","",IF(J60&gt;200,"YES",""))</f>
        <v/>
      </c>
    </row>
    <row r="61">
      <c r="G61" s="4" t="n"/>
      <c r="J61" s="4">
        <f>IF(B61="","",SUMIF($B$5:$B$204,B61,$G$5:$G$204))</f>
        <v/>
      </c>
      <c r="K61">
        <f>IF(J61="","",IF(J61&gt;200,"YES",""))</f>
        <v/>
      </c>
    </row>
    <row r="62">
      <c r="G62" s="4" t="n"/>
      <c r="J62" s="4">
        <f>IF(B62="","",SUMIF($B$5:$B$204,B62,$G$5:$G$204))</f>
        <v/>
      </c>
      <c r="K62">
        <f>IF(J62="","",IF(J62&gt;200,"YES",""))</f>
        <v/>
      </c>
    </row>
    <row r="63">
      <c r="G63" s="4" t="n"/>
      <c r="J63" s="4">
        <f>IF(B63="","",SUMIF($B$5:$B$204,B63,$G$5:$G$204))</f>
        <v/>
      </c>
      <c r="K63">
        <f>IF(J63="","",IF(J63&gt;200,"YES",""))</f>
        <v/>
      </c>
    </row>
    <row r="64">
      <c r="G64" s="4" t="n"/>
      <c r="J64" s="4">
        <f>IF(B64="","",SUMIF($B$5:$B$204,B64,$G$5:$G$204))</f>
        <v/>
      </c>
      <c r="K64">
        <f>IF(J64="","",IF(J64&gt;200,"YES",""))</f>
        <v/>
      </c>
    </row>
    <row r="65">
      <c r="G65" s="4" t="n"/>
      <c r="J65" s="4">
        <f>IF(B65="","",SUMIF($B$5:$B$204,B65,$G$5:$G$204))</f>
        <v/>
      </c>
      <c r="K65">
        <f>IF(J65="","",IF(J65&gt;200,"YES",""))</f>
        <v/>
      </c>
    </row>
    <row r="66">
      <c r="G66" s="4" t="n"/>
      <c r="J66" s="4">
        <f>IF(B66="","",SUMIF($B$5:$B$204,B66,$G$5:$G$204))</f>
        <v/>
      </c>
      <c r="K66">
        <f>IF(J66="","",IF(J66&gt;200,"YES",""))</f>
        <v/>
      </c>
    </row>
    <row r="67">
      <c r="G67" s="4" t="n"/>
      <c r="J67" s="4">
        <f>IF(B67="","",SUMIF($B$5:$B$204,B67,$G$5:$G$204))</f>
        <v/>
      </c>
      <c r="K67">
        <f>IF(J67="","",IF(J67&gt;200,"YES",""))</f>
        <v/>
      </c>
    </row>
    <row r="68">
      <c r="G68" s="4" t="n"/>
      <c r="J68" s="4">
        <f>IF(B68="","",SUMIF($B$5:$B$204,B68,$G$5:$G$204))</f>
        <v/>
      </c>
      <c r="K68">
        <f>IF(J68="","",IF(J68&gt;200,"YES",""))</f>
        <v/>
      </c>
    </row>
    <row r="69">
      <c r="G69" s="4" t="n"/>
      <c r="J69" s="4">
        <f>IF(B69="","",SUMIF($B$5:$B$204,B69,$G$5:$G$204))</f>
        <v/>
      </c>
      <c r="K69">
        <f>IF(J69="","",IF(J69&gt;200,"YES",""))</f>
        <v/>
      </c>
    </row>
    <row r="70">
      <c r="G70" s="4" t="n"/>
      <c r="J70" s="4">
        <f>IF(B70="","",SUMIF($B$5:$B$204,B70,$G$5:$G$204))</f>
        <v/>
      </c>
      <c r="K70">
        <f>IF(J70="","",IF(J70&gt;200,"YES",""))</f>
        <v/>
      </c>
    </row>
    <row r="71">
      <c r="G71" s="4" t="n"/>
      <c r="J71" s="4">
        <f>IF(B71="","",SUMIF($B$5:$B$204,B71,$G$5:$G$204))</f>
        <v/>
      </c>
      <c r="K71">
        <f>IF(J71="","",IF(J71&gt;200,"YES",""))</f>
        <v/>
      </c>
    </row>
    <row r="72">
      <c r="G72" s="4" t="n"/>
      <c r="J72" s="4">
        <f>IF(B72="","",SUMIF($B$5:$B$204,B72,$G$5:$G$204))</f>
        <v/>
      </c>
      <c r="K72">
        <f>IF(J72="","",IF(J72&gt;200,"YES",""))</f>
        <v/>
      </c>
    </row>
    <row r="73">
      <c r="G73" s="4" t="n"/>
      <c r="J73" s="4">
        <f>IF(B73="","",SUMIF($B$5:$B$204,B73,$G$5:$G$204))</f>
        <v/>
      </c>
      <c r="K73">
        <f>IF(J73="","",IF(J73&gt;200,"YES",""))</f>
        <v/>
      </c>
    </row>
    <row r="74">
      <c r="G74" s="4" t="n"/>
      <c r="J74" s="4">
        <f>IF(B74="","",SUMIF($B$5:$B$204,B74,$G$5:$G$204))</f>
        <v/>
      </c>
      <c r="K74">
        <f>IF(J74="","",IF(J74&gt;200,"YES",""))</f>
        <v/>
      </c>
    </row>
    <row r="75">
      <c r="G75" s="4" t="n"/>
      <c r="J75" s="4">
        <f>IF(B75="","",SUMIF($B$5:$B$204,B75,$G$5:$G$204))</f>
        <v/>
      </c>
      <c r="K75">
        <f>IF(J75="","",IF(J75&gt;200,"YES",""))</f>
        <v/>
      </c>
    </row>
    <row r="76">
      <c r="G76" s="4" t="n"/>
      <c r="J76" s="4">
        <f>IF(B76="","",SUMIF($B$5:$B$204,B76,$G$5:$G$204))</f>
        <v/>
      </c>
      <c r="K76">
        <f>IF(J76="","",IF(J76&gt;200,"YES",""))</f>
        <v/>
      </c>
    </row>
    <row r="77">
      <c r="G77" s="4" t="n"/>
      <c r="J77" s="4">
        <f>IF(B77="","",SUMIF($B$5:$B$204,B77,$G$5:$G$204))</f>
        <v/>
      </c>
      <c r="K77">
        <f>IF(J77="","",IF(J77&gt;200,"YES",""))</f>
        <v/>
      </c>
    </row>
    <row r="78">
      <c r="G78" s="4" t="n"/>
      <c r="J78" s="4">
        <f>IF(B78="","",SUMIF($B$5:$B$204,B78,$G$5:$G$204))</f>
        <v/>
      </c>
      <c r="K78">
        <f>IF(J78="","",IF(J78&gt;200,"YES",""))</f>
        <v/>
      </c>
    </row>
    <row r="79">
      <c r="G79" s="4" t="n"/>
      <c r="J79" s="4">
        <f>IF(B79="","",SUMIF($B$5:$B$204,B79,$G$5:$G$204))</f>
        <v/>
      </c>
      <c r="K79">
        <f>IF(J79="","",IF(J79&gt;200,"YES",""))</f>
        <v/>
      </c>
    </row>
    <row r="80">
      <c r="G80" s="4" t="n"/>
      <c r="J80" s="4">
        <f>IF(B80="","",SUMIF($B$5:$B$204,B80,$G$5:$G$204))</f>
        <v/>
      </c>
      <c r="K80">
        <f>IF(J80="","",IF(J80&gt;200,"YES",""))</f>
        <v/>
      </c>
    </row>
    <row r="81">
      <c r="G81" s="4" t="n"/>
      <c r="J81" s="4">
        <f>IF(B81="","",SUMIF($B$5:$B$204,B81,$G$5:$G$204))</f>
        <v/>
      </c>
      <c r="K81">
        <f>IF(J81="","",IF(J81&gt;200,"YES",""))</f>
        <v/>
      </c>
    </row>
    <row r="82">
      <c r="G82" s="4" t="n"/>
      <c r="J82" s="4">
        <f>IF(B82="","",SUMIF($B$5:$B$204,B82,$G$5:$G$204))</f>
        <v/>
      </c>
      <c r="K82">
        <f>IF(J82="","",IF(J82&gt;200,"YES",""))</f>
        <v/>
      </c>
    </row>
    <row r="83">
      <c r="G83" s="4" t="n"/>
      <c r="J83" s="4">
        <f>IF(B83="","",SUMIF($B$5:$B$204,B83,$G$5:$G$204))</f>
        <v/>
      </c>
      <c r="K83">
        <f>IF(J83="","",IF(J83&gt;200,"YES",""))</f>
        <v/>
      </c>
    </row>
    <row r="84">
      <c r="G84" s="4" t="n"/>
      <c r="J84" s="4">
        <f>IF(B84="","",SUMIF($B$5:$B$204,B84,$G$5:$G$204))</f>
        <v/>
      </c>
      <c r="K84">
        <f>IF(J84="","",IF(J84&gt;200,"YES",""))</f>
        <v/>
      </c>
    </row>
    <row r="85">
      <c r="G85" s="4" t="n"/>
      <c r="J85" s="4">
        <f>IF(B85="","",SUMIF($B$5:$B$204,B85,$G$5:$G$204))</f>
        <v/>
      </c>
      <c r="K85">
        <f>IF(J85="","",IF(J85&gt;200,"YES",""))</f>
        <v/>
      </c>
    </row>
    <row r="86">
      <c r="G86" s="4" t="n"/>
      <c r="J86" s="4">
        <f>IF(B86="","",SUMIF($B$5:$B$204,B86,$G$5:$G$204))</f>
        <v/>
      </c>
      <c r="K86">
        <f>IF(J86="","",IF(J86&gt;200,"YES",""))</f>
        <v/>
      </c>
    </row>
    <row r="87">
      <c r="G87" s="4" t="n"/>
      <c r="J87" s="4">
        <f>IF(B87="","",SUMIF($B$5:$B$204,B87,$G$5:$G$204))</f>
        <v/>
      </c>
      <c r="K87">
        <f>IF(J87="","",IF(J87&gt;200,"YES",""))</f>
        <v/>
      </c>
    </row>
    <row r="88">
      <c r="G88" s="4" t="n"/>
      <c r="J88" s="4">
        <f>IF(B88="","",SUMIF($B$5:$B$204,B88,$G$5:$G$204))</f>
        <v/>
      </c>
      <c r="K88">
        <f>IF(J88="","",IF(J88&gt;200,"YES",""))</f>
        <v/>
      </c>
    </row>
    <row r="89">
      <c r="G89" s="4" t="n"/>
      <c r="J89" s="4">
        <f>IF(B89="","",SUMIF($B$5:$B$204,B89,$G$5:$G$204))</f>
        <v/>
      </c>
      <c r="K89">
        <f>IF(J89="","",IF(J89&gt;200,"YES",""))</f>
        <v/>
      </c>
    </row>
    <row r="90">
      <c r="G90" s="4" t="n"/>
      <c r="J90" s="4">
        <f>IF(B90="","",SUMIF($B$5:$B$204,B90,$G$5:$G$204))</f>
        <v/>
      </c>
      <c r="K90">
        <f>IF(J90="","",IF(J90&gt;200,"YES",""))</f>
        <v/>
      </c>
    </row>
    <row r="91">
      <c r="G91" s="4" t="n"/>
      <c r="J91" s="4">
        <f>IF(B91="","",SUMIF($B$5:$B$204,B91,$G$5:$G$204))</f>
        <v/>
      </c>
      <c r="K91">
        <f>IF(J91="","",IF(J91&gt;200,"YES",""))</f>
        <v/>
      </c>
    </row>
    <row r="92">
      <c r="G92" s="4" t="n"/>
      <c r="J92" s="4">
        <f>IF(B92="","",SUMIF($B$5:$B$204,B92,$G$5:$G$204))</f>
        <v/>
      </c>
      <c r="K92">
        <f>IF(J92="","",IF(J92&gt;200,"YES",""))</f>
        <v/>
      </c>
    </row>
    <row r="93">
      <c r="G93" s="4" t="n"/>
      <c r="J93" s="4">
        <f>IF(B93="","",SUMIF($B$5:$B$204,B93,$G$5:$G$204))</f>
        <v/>
      </c>
      <c r="K93">
        <f>IF(J93="","",IF(J93&gt;200,"YES",""))</f>
        <v/>
      </c>
    </row>
    <row r="94">
      <c r="G94" s="4" t="n"/>
      <c r="J94" s="4">
        <f>IF(B94="","",SUMIF($B$5:$B$204,B94,$G$5:$G$204))</f>
        <v/>
      </c>
      <c r="K94">
        <f>IF(J94="","",IF(J94&gt;200,"YES",""))</f>
        <v/>
      </c>
    </row>
    <row r="95">
      <c r="G95" s="4" t="n"/>
      <c r="J95" s="4">
        <f>IF(B95="","",SUMIF($B$5:$B$204,B95,$G$5:$G$204))</f>
        <v/>
      </c>
      <c r="K95">
        <f>IF(J95="","",IF(J95&gt;200,"YES",""))</f>
        <v/>
      </c>
    </row>
    <row r="96">
      <c r="G96" s="4" t="n"/>
      <c r="J96" s="4">
        <f>IF(B96="","",SUMIF($B$5:$B$204,B96,$G$5:$G$204))</f>
        <v/>
      </c>
      <c r="K96">
        <f>IF(J96="","",IF(J96&gt;200,"YES",""))</f>
        <v/>
      </c>
    </row>
    <row r="97">
      <c r="G97" s="4" t="n"/>
      <c r="J97" s="4">
        <f>IF(B97="","",SUMIF($B$5:$B$204,B97,$G$5:$G$204))</f>
        <v/>
      </c>
      <c r="K97">
        <f>IF(J97="","",IF(J97&gt;200,"YES",""))</f>
        <v/>
      </c>
    </row>
    <row r="98">
      <c r="G98" s="4" t="n"/>
      <c r="J98" s="4">
        <f>IF(B98="","",SUMIF($B$5:$B$204,B98,$G$5:$G$204))</f>
        <v/>
      </c>
      <c r="K98">
        <f>IF(J98="","",IF(J98&gt;200,"YES",""))</f>
        <v/>
      </c>
    </row>
    <row r="99">
      <c r="G99" s="4" t="n"/>
      <c r="J99" s="4">
        <f>IF(B99="","",SUMIF($B$5:$B$204,B99,$G$5:$G$204))</f>
        <v/>
      </c>
      <c r="K99">
        <f>IF(J99="","",IF(J99&gt;200,"YES",""))</f>
        <v/>
      </c>
    </row>
    <row r="100">
      <c r="G100" s="4" t="n"/>
      <c r="J100" s="4">
        <f>IF(B100="","",SUMIF($B$5:$B$204,B100,$G$5:$G$204))</f>
        <v/>
      </c>
      <c r="K100">
        <f>IF(J100="","",IF(J100&gt;200,"YES",""))</f>
        <v/>
      </c>
    </row>
    <row r="101">
      <c r="G101" s="4" t="n"/>
      <c r="J101" s="4">
        <f>IF(B101="","",SUMIF($B$5:$B$204,B101,$G$5:$G$204))</f>
        <v/>
      </c>
      <c r="K101">
        <f>IF(J101="","",IF(J101&gt;200,"YES",""))</f>
        <v/>
      </c>
    </row>
    <row r="102">
      <c r="G102" s="4" t="n"/>
      <c r="J102" s="4">
        <f>IF(B102="","",SUMIF($B$5:$B$204,B102,$G$5:$G$204))</f>
        <v/>
      </c>
      <c r="K102">
        <f>IF(J102="","",IF(J102&gt;200,"YES",""))</f>
        <v/>
      </c>
    </row>
    <row r="103">
      <c r="G103" s="4" t="n"/>
      <c r="J103" s="4">
        <f>IF(B103="","",SUMIF($B$5:$B$204,B103,$G$5:$G$204))</f>
        <v/>
      </c>
      <c r="K103">
        <f>IF(J103="","",IF(J103&gt;200,"YES",""))</f>
        <v/>
      </c>
    </row>
    <row r="104">
      <c r="G104" s="4" t="n"/>
      <c r="J104" s="4">
        <f>IF(B104="","",SUMIF($B$5:$B$204,B104,$G$5:$G$204))</f>
        <v/>
      </c>
      <c r="K104">
        <f>IF(J104="","",IF(J104&gt;200,"YES",""))</f>
        <v/>
      </c>
    </row>
    <row r="105">
      <c r="G105" s="4" t="n"/>
      <c r="J105" s="4">
        <f>IF(B105="","",SUMIF($B$5:$B$204,B105,$G$5:$G$204))</f>
        <v/>
      </c>
      <c r="K105">
        <f>IF(J105="","",IF(J105&gt;200,"YES",""))</f>
        <v/>
      </c>
    </row>
    <row r="106">
      <c r="G106" s="4" t="n"/>
      <c r="J106" s="4">
        <f>IF(B106="","",SUMIF($B$5:$B$204,B106,$G$5:$G$204))</f>
        <v/>
      </c>
      <c r="K106">
        <f>IF(J106="","",IF(J106&gt;200,"YES",""))</f>
        <v/>
      </c>
    </row>
    <row r="107">
      <c r="G107" s="4" t="n"/>
      <c r="J107" s="4">
        <f>IF(B107="","",SUMIF($B$5:$B$204,B107,$G$5:$G$204))</f>
        <v/>
      </c>
      <c r="K107">
        <f>IF(J107="","",IF(J107&gt;200,"YES",""))</f>
        <v/>
      </c>
    </row>
    <row r="108">
      <c r="G108" s="4" t="n"/>
      <c r="J108" s="4">
        <f>IF(B108="","",SUMIF($B$5:$B$204,B108,$G$5:$G$204))</f>
        <v/>
      </c>
      <c r="K108">
        <f>IF(J108="","",IF(J108&gt;200,"YES",""))</f>
        <v/>
      </c>
    </row>
    <row r="109">
      <c r="G109" s="4" t="n"/>
      <c r="J109" s="4">
        <f>IF(B109="","",SUMIF($B$5:$B$204,B109,$G$5:$G$204))</f>
        <v/>
      </c>
      <c r="K109">
        <f>IF(J109="","",IF(J109&gt;200,"YES",""))</f>
        <v/>
      </c>
    </row>
    <row r="110">
      <c r="G110" s="4" t="n"/>
      <c r="J110" s="4">
        <f>IF(B110="","",SUMIF($B$5:$B$204,B110,$G$5:$G$204))</f>
        <v/>
      </c>
      <c r="K110">
        <f>IF(J110="","",IF(J110&gt;200,"YES",""))</f>
        <v/>
      </c>
    </row>
    <row r="111">
      <c r="G111" s="4" t="n"/>
      <c r="J111" s="4">
        <f>IF(B111="","",SUMIF($B$5:$B$204,B111,$G$5:$G$204))</f>
        <v/>
      </c>
      <c r="K111">
        <f>IF(J111="","",IF(J111&gt;200,"YES",""))</f>
        <v/>
      </c>
    </row>
    <row r="112">
      <c r="G112" s="4" t="n"/>
      <c r="J112" s="4">
        <f>IF(B112="","",SUMIF($B$5:$B$204,B112,$G$5:$G$204))</f>
        <v/>
      </c>
      <c r="K112">
        <f>IF(J112="","",IF(J112&gt;200,"YES",""))</f>
        <v/>
      </c>
    </row>
    <row r="113">
      <c r="G113" s="4" t="n"/>
      <c r="J113" s="4">
        <f>IF(B113="","",SUMIF($B$5:$B$204,B113,$G$5:$G$204))</f>
        <v/>
      </c>
      <c r="K113">
        <f>IF(J113="","",IF(J113&gt;200,"YES",""))</f>
        <v/>
      </c>
    </row>
    <row r="114">
      <c r="G114" s="4" t="n"/>
      <c r="J114" s="4">
        <f>IF(B114="","",SUMIF($B$5:$B$204,B114,$G$5:$G$204))</f>
        <v/>
      </c>
      <c r="K114">
        <f>IF(J114="","",IF(J114&gt;200,"YES",""))</f>
        <v/>
      </c>
    </row>
    <row r="115">
      <c r="G115" s="4" t="n"/>
      <c r="J115" s="4">
        <f>IF(B115="","",SUMIF($B$5:$B$204,B115,$G$5:$G$204))</f>
        <v/>
      </c>
      <c r="K115">
        <f>IF(J115="","",IF(J115&gt;200,"YES",""))</f>
        <v/>
      </c>
    </row>
    <row r="116">
      <c r="G116" s="4" t="n"/>
      <c r="J116" s="4">
        <f>IF(B116="","",SUMIF($B$5:$B$204,B116,$G$5:$G$204))</f>
        <v/>
      </c>
      <c r="K116">
        <f>IF(J116="","",IF(J116&gt;200,"YES",""))</f>
        <v/>
      </c>
    </row>
    <row r="117">
      <c r="G117" s="4" t="n"/>
      <c r="J117" s="4">
        <f>IF(B117="","",SUMIF($B$5:$B$204,B117,$G$5:$G$204))</f>
        <v/>
      </c>
      <c r="K117">
        <f>IF(J117="","",IF(J117&gt;200,"YES",""))</f>
        <v/>
      </c>
    </row>
    <row r="118">
      <c r="G118" s="4" t="n"/>
      <c r="J118" s="4">
        <f>IF(B118="","",SUMIF($B$5:$B$204,B118,$G$5:$G$204))</f>
        <v/>
      </c>
      <c r="K118">
        <f>IF(J118="","",IF(J118&gt;200,"YES",""))</f>
        <v/>
      </c>
    </row>
    <row r="119">
      <c r="G119" s="4" t="n"/>
      <c r="J119" s="4">
        <f>IF(B119="","",SUMIF($B$5:$B$204,B119,$G$5:$G$204))</f>
        <v/>
      </c>
      <c r="K119">
        <f>IF(J119="","",IF(J119&gt;200,"YES",""))</f>
        <v/>
      </c>
    </row>
    <row r="120">
      <c r="G120" s="4" t="n"/>
      <c r="J120" s="4">
        <f>IF(B120="","",SUMIF($B$5:$B$204,B120,$G$5:$G$204))</f>
        <v/>
      </c>
      <c r="K120">
        <f>IF(J120="","",IF(J120&gt;200,"YES",""))</f>
        <v/>
      </c>
    </row>
    <row r="121">
      <c r="G121" s="4" t="n"/>
      <c r="J121" s="4">
        <f>IF(B121="","",SUMIF($B$5:$B$204,B121,$G$5:$G$204))</f>
        <v/>
      </c>
      <c r="K121">
        <f>IF(J121="","",IF(J121&gt;200,"YES",""))</f>
        <v/>
      </c>
    </row>
    <row r="122">
      <c r="G122" s="4" t="n"/>
      <c r="J122" s="4">
        <f>IF(B122="","",SUMIF($B$5:$B$204,B122,$G$5:$G$204))</f>
        <v/>
      </c>
      <c r="K122">
        <f>IF(J122="","",IF(J122&gt;200,"YES",""))</f>
        <v/>
      </c>
    </row>
    <row r="123">
      <c r="G123" s="4" t="n"/>
      <c r="J123" s="4">
        <f>IF(B123="","",SUMIF($B$5:$B$204,B123,$G$5:$G$204))</f>
        <v/>
      </c>
      <c r="K123">
        <f>IF(J123="","",IF(J123&gt;200,"YES",""))</f>
        <v/>
      </c>
    </row>
    <row r="124">
      <c r="G124" s="4" t="n"/>
      <c r="J124" s="4">
        <f>IF(B124="","",SUMIF($B$5:$B$204,B124,$G$5:$G$204))</f>
        <v/>
      </c>
      <c r="K124">
        <f>IF(J124="","",IF(J124&gt;200,"YES",""))</f>
        <v/>
      </c>
    </row>
    <row r="125">
      <c r="G125" s="4" t="n"/>
      <c r="J125" s="4">
        <f>IF(B125="","",SUMIF($B$5:$B$204,B125,$G$5:$G$204))</f>
        <v/>
      </c>
      <c r="K125">
        <f>IF(J125="","",IF(J125&gt;200,"YES",""))</f>
        <v/>
      </c>
    </row>
    <row r="126">
      <c r="G126" s="4" t="n"/>
      <c r="J126" s="4">
        <f>IF(B126="","",SUMIF($B$5:$B$204,B126,$G$5:$G$204))</f>
        <v/>
      </c>
      <c r="K126">
        <f>IF(J126="","",IF(J126&gt;200,"YES",""))</f>
        <v/>
      </c>
    </row>
    <row r="127">
      <c r="G127" s="4" t="n"/>
      <c r="J127" s="4">
        <f>IF(B127="","",SUMIF($B$5:$B$204,B127,$G$5:$G$204))</f>
        <v/>
      </c>
      <c r="K127">
        <f>IF(J127="","",IF(J127&gt;200,"YES",""))</f>
        <v/>
      </c>
    </row>
    <row r="128">
      <c r="G128" s="4" t="n"/>
      <c r="J128" s="4">
        <f>IF(B128="","",SUMIF($B$5:$B$204,B128,$G$5:$G$204))</f>
        <v/>
      </c>
      <c r="K128">
        <f>IF(J128="","",IF(J128&gt;200,"YES",""))</f>
        <v/>
      </c>
    </row>
    <row r="129">
      <c r="G129" s="4" t="n"/>
      <c r="J129" s="4">
        <f>IF(B129="","",SUMIF($B$5:$B$204,B129,$G$5:$G$204))</f>
        <v/>
      </c>
      <c r="K129">
        <f>IF(J129="","",IF(J129&gt;200,"YES",""))</f>
        <v/>
      </c>
    </row>
    <row r="130">
      <c r="G130" s="4" t="n"/>
      <c r="J130" s="4">
        <f>IF(B130="","",SUMIF($B$5:$B$204,B130,$G$5:$G$204))</f>
        <v/>
      </c>
      <c r="K130">
        <f>IF(J130="","",IF(J130&gt;200,"YES",""))</f>
        <v/>
      </c>
    </row>
    <row r="131">
      <c r="G131" s="4" t="n"/>
      <c r="J131" s="4">
        <f>IF(B131="","",SUMIF($B$5:$B$204,B131,$G$5:$G$204))</f>
        <v/>
      </c>
      <c r="K131">
        <f>IF(J131="","",IF(J131&gt;200,"YES",""))</f>
        <v/>
      </c>
    </row>
    <row r="132">
      <c r="G132" s="4" t="n"/>
      <c r="J132" s="4">
        <f>IF(B132="","",SUMIF($B$5:$B$204,B132,$G$5:$G$204))</f>
        <v/>
      </c>
      <c r="K132">
        <f>IF(J132="","",IF(J132&gt;200,"YES",""))</f>
        <v/>
      </c>
    </row>
    <row r="133">
      <c r="G133" s="4" t="n"/>
      <c r="J133" s="4">
        <f>IF(B133="","",SUMIF($B$5:$B$204,B133,$G$5:$G$204))</f>
        <v/>
      </c>
      <c r="K133">
        <f>IF(J133="","",IF(J133&gt;200,"YES",""))</f>
        <v/>
      </c>
    </row>
    <row r="134">
      <c r="G134" s="4" t="n"/>
      <c r="J134" s="4">
        <f>IF(B134="","",SUMIF($B$5:$B$204,B134,$G$5:$G$204))</f>
        <v/>
      </c>
      <c r="K134">
        <f>IF(J134="","",IF(J134&gt;200,"YES",""))</f>
        <v/>
      </c>
    </row>
    <row r="135">
      <c r="G135" s="4" t="n"/>
      <c r="J135" s="4">
        <f>IF(B135="","",SUMIF($B$5:$B$204,B135,$G$5:$G$204))</f>
        <v/>
      </c>
      <c r="K135">
        <f>IF(J135="","",IF(J135&gt;200,"YES",""))</f>
        <v/>
      </c>
    </row>
    <row r="136">
      <c r="G136" s="4" t="n"/>
      <c r="J136" s="4">
        <f>IF(B136="","",SUMIF($B$5:$B$204,B136,$G$5:$G$204))</f>
        <v/>
      </c>
      <c r="K136">
        <f>IF(J136="","",IF(J136&gt;200,"YES",""))</f>
        <v/>
      </c>
    </row>
    <row r="137">
      <c r="G137" s="4" t="n"/>
      <c r="J137" s="4">
        <f>IF(B137="","",SUMIF($B$5:$B$204,B137,$G$5:$G$204))</f>
        <v/>
      </c>
      <c r="K137">
        <f>IF(J137="","",IF(J137&gt;200,"YES",""))</f>
        <v/>
      </c>
    </row>
    <row r="138">
      <c r="G138" s="4" t="n"/>
      <c r="J138" s="4">
        <f>IF(B138="","",SUMIF($B$5:$B$204,B138,$G$5:$G$204))</f>
        <v/>
      </c>
      <c r="K138">
        <f>IF(J138="","",IF(J138&gt;200,"YES",""))</f>
        <v/>
      </c>
    </row>
    <row r="139">
      <c r="G139" s="4" t="n"/>
      <c r="J139" s="4">
        <f>IF(B139="","",SUMIF($B$5:$B$204,B139,$G$5:$G$204))</f>
        <v/>
      </c>
      <c r="K139">
        <f>IF(J139="","",IF(J139&gt;200,"YES",""))</f>
        <v/>
      </c>
    </row>
    <row r="140">
      <c r="G140" s="4" t="n"/>
      <c r="J140" s="4">
        <f>IF(B140="","",SUMIF($B$5:$B$204,B140,$G$5:$G$204))</f>
        <v/>
      </c>
      <c r="K140">
        <f>IF(J140="","",IF(J140&gt;200,"YES",""))</f>
        <v/>
      </c>
    </row>
    <row r="141">
      <c r="G141" s="4" t="n"/>
      <c r="J141" s="4">
        <f>IF(B141="","",SUMIF($B$5:$B$204,B141,$G$5:$G$204))</f>
        <v/>
      </c>
      <c r="K141">
        <f>IF(J141="","",IF(J141&gt;200,"YES",""))</f>
        <v/>
      </c>
    </row>
    <row r="142">
      <c r="G142" s="4" t="n"/>
      <c r="J142" s="4">
        <f>IF(B142="","",SUMIF($B$5:$B$204,B142,$G$5:$G$204))</f>
        <v/>
      </c>
      <c r="K142">
        <f>IF(J142="","",IF(J142&gt;200,"YES",""))</f>
        <v/>
      </c>
    </row>
    <row r="143">
      <c r="G143" s="4" t="n"/>
      <c r="J143" s="4">
        <f>IF(B143="","",SUMIF($B$5:$B$204,B143,$G$5:$G$204))</f>
        <v/>
      </c>
      <c r="K143">
        <f>IF(J143="","",IF(J143&gt;200,"YES",""))</f>
        <v/>
      </c>
    </row>
    <row r="144">
      <c r="G144" s="4" t="n"/>
      <c r="J144" s="4">
        <f>IF(B144="","",SUMIF($B$5:$B$204,B144,$G$5:$G$204))</f>
        <v/>
      </c>
      <c r="K144">
        <f>IF(J144="","",IF(J144&gt;200,"YES",""))</f>
        <v/>
      </c>
    </row>
    <row r="145">
      <c r="G145" s="4" t="n"/>
      <c r="J145" s="4">
        <f>IF(B145="","",SUMIF($B$5:$B$204,B145,$G$5:$G$204))</f>
        <v/>
      </c>
      <c r="K145">
        <f>IF(J145="","",IF(J145&gt;200,"YES",""))</f>
        <v/>
      </c>
    </row>
    <row r="146">
      <c r="G146" s="4" t="n"/>
      <c r="J146" s="4">
        <f>IF(B146="","",SUMIF($B$5:$B$204,B146,$G$5:$G$204))</f>
        <v/>
      </c>
      <c r="K146">
        <f>IF(J146="","",IF(J146&gt;200,"YES",""))</f>
        <v/>
      </c>
    </row>
    <row r="147">
      <c r="G147" s="4" t="n"/>
      <c r="J147" s="4">
        <f>IF(B147="","",SUMIF($B$5:$B$204,B147,$G$5:$G$204))</f>
        <v/>
      </c>
      <c r="K147">
        <f>IF(J147="","",IF(J147&gt;200,"YES",""))</f>
        <v/>
      </c>
    </row>
    <row r="148">
      <c r="G148" s="4" t="n"/>
      <c r="J148" s="4">
        <f>IF(B148="","",SUMIF($B$5:$B$204,B148,$G$5:$G$204))</f>
        <v/>
      </c>
      <c r="K148">
        <f>IF(J148="","",IF(J148&gt;200,"YES",""))</f>
        <v/>
      </c>
    </row>
    <row r="149">
      <c r="G149" s="4" t="n"/>
      <c r="J149" s="4">
        <f>IF(B149="","",SUMIF($B$5:$B$204,B149,$G$5:$G$204))</f>
        <v/>
      </c>
      <c r="K149">
        <f>IF(J149="","",IF(J149&gt;200,"YES",""))</f>
        <v/>
      </c>
    </row>
    <row r="150">
      <c r="G150" s="4" t="n"/>
      <c r="J150" s="4">
        <f>IF(B150="","",SUMIF($B$5:$B$204,B150,$G$5:$G$204))</f>
        <v/>
      </c>
      <c r="K150">
        <f>IF(J150="","",IF(J150&gt;200,"YES",""))</f>
        <v/>
      </c>
    </row>
    <row r="151">
      <c r="G151" s="4" t="n"/>
      <c r="J151" s="4">
        <f>IF(B151="","",SUMIF($B$5:$B$204,B151,$G$5:$G$204))</f>
        <v/>
      </c>
      <c r="K151">
        <f>IF(J151="","",IF(J151&gt;200,"YES",""))</f>
        <v/>
      </c>
    </row>
    <row r="152">
      <c r="G152" s="4" t="n"/>
      <c r="J152" s="4">
        <f>IF(B152="","",SUMIF($B$5:$B$204,B152,$G$5:$G$204))</f>
        <v/>
      </c>
      <c r="K152">
        <f>IF(J152="","",IF(J152&gt;200,"YES",""))</f>
        <v/>
      </c>
    </row>
    <row r="153">
      <c r="G153" s="4" t="n"/>
      <c r="J153" s="4">
        <f>IF(B153="","",SUMIF($B$5:$B$204,B153,$G$5:$G$204))</f>
        <v/>
      </c>
      <c r="K153">
        <f>IF(J153="","",IF(J153&gt;200,"YES",""))</f>
        <v/>
      </c>
    </row>
    <row r="154">
      <c r="G154" s="4" t="n"/>
      <c r="J154" s="4">
        <f>IF(B154="","",SUMIF($B$5:$B$204,B154,$G$5:$G$204))</f>
        <v/>
      </c>
      <c r="K154">
        <f>IF(J154="","",IF(J154&gt;200,"YES",""))</f>
        <v/>
      </c>
    </row>
    <row r="155">
      <c r="G155" s="4" t="n"/>
      <c r="J155" s="4">
        <f>IF(B155="","",SUMIF($B$5:$B$204,B155,$G$5:$G$204))</f>
        <v/>
      </c>
      <c r="K155">
        <f>IF(J155="","",IF(J155&gt;200,"YES",""))</f>
        <v/>
      </c>
    </row>
    <row r="156">
      <c r="G156" s="4" t="n"/>
      <c r="J156" s="4">
        <f>IF(B156="","",SUMIF($B$5:$B$204,B156,$G$5:$G$204))</f>
        <v/>
      </c>
      <c r="K156">
        <f>IF(J156="","",IF(J156&gt;200,"YES",""))</f>
        <v/>
      </c>
    </row>
    <row r="157">
      <c r="G157" s="4" t="n"/>
      <c r="J157" s="4">
        <f>IF(B157="","",SUMIF($B$5:$B$204,B157,$G$5:$G$204))</f>
        <v/>
      </c>
      <c r="K157">
        <f>IF(J157="","",IF(J157&gt;200,"YES",""))</f>
        <v/>
      </c>
    </row>
    <row r="158">
      <c r="G158" s="4" t="n"/>
      <c r="J158" s="4">
        <f>IF(B158="","",SUMIF($B$5:$B$204,B158,$G$5:$G$204))</f>
        <v/>
      </c>
      <c r="K158">
        <f>IF(J158="","",IF(J158&gt;200,"YES",""))</f>
        <v/>
      </c>
    </row>
    <row r="159">
      <c r="G159" s="4" t="n"/>
      <c r="J159" s="4">
        <f>IF(B159="","",SUMIF($B$5:$B$204,B159,$G$5:$G$204))</f>
        <v/>
      </c>
      <c r="K159">
        <f>IF(J159="","",IF(J159&gt;200,"YES",""))</f>
        <v/>
      </c>
    </row>
    <row r="160">
      <c r="G160" s="4" t="n"/>
      <c r="J160" s="4">
        <f>IF(B160="","",SUMIF($B$5:$B$204,B160,$G$5:$G$204))</f>
        <v/>
      </c>
      <c r="K160">
        <f>IF(J160="","",IF(J160&gt;200,"YES",""))</f>
        <v/>
      </c>
    </row>
    <row r="161">
      <c r="G161" s="4" t="n"/>
      <c r="J161" s="4">
        <f>IF(B161="","",SUMIF($B$5:$B$204,B161,$G$5:$G$204))</f>
        <v/>
      </c>
      <c r="K161">
        <f>IF(J161="","",IF(J161&gt;200,"YES",""))</f>
        <v/>
      </c>
    </row>
    <row r="162">
      <c r="G162" s="4" t="n"/>
      <c r="J162" s="4">
        <f>IF(B162="","",SUMIF($B$5:$B$204,B162,$G$5:$G$204))</f>
        <v/>
      </c>
      <c r="K162">
        <f>IF(J162="","",IF(J162&gt;200,"YES",""))</f>
        <v/>
      </c>
    </row>
    <row r="163">
      <c r="G163" s="4" t="n"/>
      <c r="J163" s="4">
        <f>IF(B163="","",SUMIF($B$5:$B$204,B163,$G$5:$G$204))</f>
        <v/>
      </c>
      <c r="K163">
        <f>IF(J163="","",IF(J163&gt;200,"YES",""))</f>
        <v/>
      </c>
    </row>
    <row r="164">
      <c r="G164" s="4" t="n"/>
      <c r="J164" s="4">
        <f>IF(B164="","",SUMIF($B$5:$B$204,B164,$G$5:$G$204))</f>
        <v/>
      </c>
      <c r="K164">
        <f>IF(J164="","",IF(J164&gt;200,"YES",""))</f>
        <v/>
      </c>
    </row>
    <row r="165">
      <c r="G165" s="4" t="n"/>
      <c r="J165" s="4">
        <f>IF(B165="","",SUMIF($B$5:$B$204,B165,$G$5:$G$204))</f>
        <v/>
      </c>
      <c r="K165">
        <f>IF(J165="","",IF(J165&gt;200,"YES",""))</f>
        <v/>
      </c>
    </row>
    <row r="166">
      <c r="G166" s="4" t="n"/>
      <c r="J166" s="4">
        <f>IF(B166="","",SUMIF($B$5:$B$204,B166,$G$5:$G$204))</f>
        <v/>
      </c>
      <c r="K166">
        <f>IF(J166="","",IF(J166&gt;200,"YES",""))</f>
        <v/>
      </c>
    </row>
    <row r="167">
      <c r="G167" s="4" t="n"/>
      <c r="J167" s="4">
        <f>IF(B167="","",SUMIF($B$5:$B$204,B167,$G$5:$G$204))</f>
        <v/>
      </c>
      <c r="K167">
        <f>IF(J167="","",IF(J167&gt;200,"YES",""))</f>
        <v/>
      </c>
    </row>
    <row r="168">
      <c r="G168" s="4" t="n"/>
      <c r="J168" s="4">
        <f>IF(B168="","",SUMIF($B$5:$B$204,B168,$G$5:$G$204))</f>
        <v/>
      </c>
      <c r="K168">
        <f>IF(J168="","",IF(J168&gt;200,"YES",""))</f>
        <v/>
      </c>
    </row>
    <row r="169">
      <c r="G169" s="4" t="n"/>
      <c r="J169" s="4">
        <f>IF(B169="","",SUMIF($B$5:$B$204,B169,$G$5:$G$204))</f>
        <v/>
      </c>
      <c r="K169">
        <f>IF(J169="","",IF(J169&gt;200,"YES",""))</f>
        <v/>
      </c>
    </row>
    <row r="170">
      <c r="G170" s="4" t="n"/>
      <c r="J170" s="4">
        <f>IF(B170="","",SUMIF($B$5:$B$204,B170,$G$5:$G$204))</f>
        <v/>
      </c>
      <c r="K170">
        <f>IF(J170="","",IF(J170&gt;200,"YES",""))</f>
        <v/>
      </c>
    </row>
    <row r="171">
      <c r="G171" s="4" t="n"/>
      <c r="J171" s="4">
        <f>IF(B171="","",SUMIF($B$5:$B$204,B171,$G$5:$G$204))</f>
        <v/>
      </c>
      <c r="K171">
        <f>IF(J171="","",IF(J171&gt;200,"YES",""))</f>
        <v/>
      </c>
    </row>
    <row r="172">
      <c r="G172" s="4" t="n"/>
      <c r="J172" s="4">
        <f>IF(B172="","",SUMIF($B$5:$B$204,B172,$G$5:$G$204))</f>
        <v/>
      </c>
      <c r="K172">
        <f>IF(J172="","",IF(J172&gt;200,"YES",""))</f>
        <v/>
      </c>
    </row>
    <row r="173">
      <c r="G173" s="4" t="n"/>
      <c r="J173" s="4">
        <f>IF(B173="","",SUMIF($B$5:$B$204,B173,$G$5:$G$204))</f>
        <v/>
      </c>
      <c r="K173">
        <f>IF(J173="","",IF(J173&gt;200,"YES",""))</f>
        <v/>
      </c>
    </row>
    <row r="174">
      <c r="G174" s="4" t="n"/>
      <c r="J174" s="4">
        <f>IF(B174="","",SUMIF($B$5:$B$204,B174,$G$5:$G$204))</f>
        <v/>
      </c>
      <c r="K174">
        <f>IF(J174="","",IF(J174&gt;200,"YES",""))</f>
        <v/>
      </c>
    </row>
    <row r="175">
      <c r="G175" s="4" t="n"/>
      <c r="J175" s="4">
        <f>IF(B175="","",SUMIF($B$5:$B$204,B175,$G$5:$G$204))</f>
        <v/>
      </c>
      <c r="K175">
        <f>IF(J175="","",IF(J175&gt;200,"YES",""))</f>
        <v/>
      </c>
    </row>
    <row r="176">
      <c r="G176" s="4" t="n"/>
      <c r="J176" s="4">
        <f>IF(B176="","",SUMIF($B$5:$B$204,B176,$G$5:$G$204))</f>
        <v/>
      </c>
      <c r="K176">
        <f>IF(J176="","",IF(J176&gt;200,"YES",""))</f>
        <v/>
      </c>
    </row>
    <row r="177">
      <c r="G177" s="4" t="n"/>
      <c r="J177" s="4">
        <f>IF(B177="","",SUMIF($B$5:$B$204,B177,$G$5:$G$204))</f>
        <v/>
      </c>
      <c r="K177">
        <f>IF(J177="","",IF(J177&gt;200,"YES",""))</f>
        <v/>
      </c>
    </row>
    <row r="178">
      <c r="G178" s="4" t="n"/>
      <c r="J178" s="4">
        <f>IF(B178="","",SUMIF($B$5:$B$204,B178,$G$5:$G$204))</f>
        <v/>
      </c>
      <c r="K178">
        <f>IF(J178="","",IF(J178&gt;200,"YES",""))</f>
        <v/>
      </c>
    </row>
    <row r="179">
      <c r="G179" s="4" t="n"/>
      <c r="J179" s="4">
        <f>IF(B179="","",SUMIF($B$5:$B$204,B179,$G$5:$G$204))</f>
        <v/>
      </c>
      <c r="K179">
        <f>IF(J179="","",IF(J179&gt;200,"YES",""))</f>
        <v/>
      </c>
    </row>
    <row r="180">
      <c r="G180" s="4" t="n"/>
      <c r="J180" s="4">
        <f>IF(B180="","",SUMIF($B$5:$B$204,B180,$G$5:$G$204))</f>
        <v/>
      </c>
      <c r="K180">
        <f>IF(J180="","",IF(J180&gt;200,"YES",""))</f>
        <v/>
      </c>
    </row>
    <row r="181">
      <c r="G181" s="4" t="n"/>
      <c r="J181" s="4">
        <f>IF(B181="","",SUMIF($B$5:$B$204,B181,$G$5:$G$204))</f>
        <v/>
      </c>
      <c r="K181">
        <f>IF(J181="","",IF(J181&gt;200,"YES",""))</f>
        <v/>
      </c>
    </row>
    <row r="182">
      <c r="G182" s="4" t="n"/>
      <c r="J182" s="4">
        <f>IF(B182="","",SUMIF($B$5:$B$204,B182,$G$5:$G$204))</f>
        <v/>
      </c>
      <c r="K182">
        <f>IF(J182="","",IF(J182&gt;200,"YES",""))</f>
        <v/>
      </c>
    </row>
    <row r="183">
      <c r="G183" s="4" t="n"/>
      <c r="J183" s="4">
        <f>IF(B183="","",SUMIF($B$5:$B$204,B183,$G$5:$G$204))</f>
        <v/>
      </c>
      <c r="K183">
        <f>IF(J183="","",IF(J183&gt;200,"YES",""))</f>
        <v/>
      </c>
    </row>
    <row r="184">
      <c r="G184" s="4" t="n"/>
      <c r="J184" s="4">
        <f>IF(B184="","",SUMIF($B$5:$B$204,B184,$G$5:$G$204))</f>
        <v/>
      </c>
      <c r="K184">
        <f>IF(J184="","",IF(J184&gt;200,"YES",""))</f>
        <v/>
      </c>
    </row>
    <row r="185">
      <c r="G185" s="4" t="n"/>
      <c r="J185" s="4">
        <f>IF(B185="","",SUMIF($B$5:$B$204,B185,$G$5:$G$204))</f>
        <v/>
      </c>
      <c r="K185">
        <f>IF(J185="","",IF(J185&gt;200,"YES",""))</f>
        <v/>
      </c>
    </row>
    <row r="186">
      <c r="G186" s="4" t="n"/>
      <c r="J186" s="4">
        <f>IF(B186="","",SUMIF($B$5:$B$204,B186,$G$5:$G$204))</f>
        <v/>
      </c>
      <c r="K186">
        <f>IF(J186="","",IF(J186&gt;200,"YES",""))</f>
        <v/>
      </c>
    </row>
    <row r="187">
      <c r="G187" s="4" t="n"/>
      <c r="J187" s="4">
        <f>IF(B187="","",SUMIF($B$5:$B$204,B187,$G$5:$G$204))</f>
        <v/>
      </c>
      <c r="K187">
        <f>IF(J187="","",IF(J187&gt;200,"YES",""))</f>
        <v/>
      </c>
    </row>
    <row r="188">
      <c r="G188" s="4" t="n"/>
      <c r="J188" s="4">
        <f>IF(B188="","",SUMIF($B$5:$B$204,B188,$G$5:$G$204))</f>
        <v/>
      </c>
      <c r="K188">
        <f>IF(J188="","",IF(J188&gt;200,"YES",""))</f>
        <v/>
      </c>
    </row>
    <row r="189">
      <c r="G189" s="4" t="n"/>
      <c r="J189" s="4">
        <f>IF(B189="","",SUMIF($B$5:$B$204,B189,$G$5:$G$204))</f>
        <v/>
      </c>
      <c r="K189">
        <f>IF(J189="","",IF(J189&gt;200,"YES",""))</f>
        <v/>
      </c>
    </row>
    <row r="190">
      <c r="G190" s="4" t="n"/>
      <c r="J190" s="4">
        <f>IF(B190="","",SUMIF($B$5:$B$204,B190,$G$5:$G$204))</f>
        <v/>
      </c>
      <c r="K190">
        <f>IF(J190="","",IF(J190&gt;200,"YES",""))</f>
        <v/>
      </c>
    </row>
    <row r="191">
      <c r="G191" s="4" t="n"/>
      <c r="J191" s="4">
        <f>IF(B191="","",SUMIF($B$5:$B$204,B191,$G$5:$G$204))</f>
        <v/>
      </c>
      <c r="K191">
        <f>IF(J191="","",IF(J191&gt;200,"YES",""))</f>
        <v/>
      </c>
    </row>
    <row r="192">
      <c r="G192" s="4" t="n"/>
      <c r="J192" s="4">
        <f>IF(B192="","",SUMIF($B$5:$B$204,B192,$G$5:$G$204))</f>
        <v/>
      </c>
      <c r="K192">
        <f>IF(J192="","",IF(J192&gt;200,"YES",""))</f>
        <v/>
      </c>
    </row>
    <row r="193">
      <c r="G193" s="4" t="n"/>
      <c r="J193" s="4">
        <f>IF(B193="","",SUMIF($B$5:$B$204,B193,$G$5:$G$204))</f>
        <v/>
      </c>
      <c r="K193">
        <f>IF(J193="","",IF(J193&gt;200,"YES",""))</f>
        <v/>
      </c>
    </row>
    <row r="194">
      <c r="G194" s="4" t="n"/>
      <c r="J194" s="4">
        <f>IF(B194="","",SUMIF($B$5:$B$204,B194,$G$5:$G$204))</f>
        <v/>
      </c>
      <c r="K194">
        <f>IF(J194="","",IF(J194&gt;200,"YES",""))</f>
        <v/>
      </c>
    </row>
    <row r="195">
      <c r="G195" s="4" t="n"/>
      <c r="J195" s="4">
        <f>IF(B195="","",SUMIF($B$5:$B$204,B195,$G$5:$G$204))</f>
        <v/>
      </c>
      <c r="K195">
        <f>IF(J195="","",IF(J195&gt;200,"YES",""))</f>
        <v/>
      </c>
    </row>
    <row r="196">
      <c r="G196" s="4" t="n"/>
      <c r="J196" s="4">
        <f>IF(B196="","",SUMIF($B$5:$B$204,B196,$G$5:$G$204))</f>
        <v/>
      </c>
      <c r="K196">
        <f>IF(J196="","",IF(J196&gt;200,"YES",""))</f>
        <v/>
      </c>
    </row>
    <row r="197">
      <c r="G197" s="4" t="n"/>
      <c r="J197" s="4">
        <f>IF(B197="","",SUMIF($B$5:$B$204,B197,$G$5:$G$204))</f>
        <v/>
      </c>
      <c r="K197">
        <f>IF(J197="","",IF(J197&gt;200,"YES",""))</f>
        <v/>
      </c>
    </row>
    <row r="198">
      <c r="G198" s="4" t="n"/>
      <c r="J198" s="4">
        <f>IF(B198="","",SUMIF($B$5:$B$204,B198,$G$5:$G$204))</f>
        <v/>
      </c>
      <c r="K198">
        <f>IF(J198="","",IF(J198&gt;200,"YES",""))</f>
        <v/>
      </c>
    </row>
    <row r="199">
      <c r="G199" s="4" t="n"/>
      <c r="J199" s="4">
        <f>IF(B199="","",SUMIF($B$5:$B$204,B199,$G$5:$G$204))</f>
        <v/>
      </c>
      <c r="K199">
        <f>IF(J199="","",IF(J199&gt;200,"YES",""))</f>
        <v/>
      </c>
    </row>
    <row r="200">
      <c r="G200" s="4" t="n"/>
      <c r="J200" s="4">
        <f>IF(B200="","",SUMIF($B$5:$B$204,B200,$G$5:$G$204))</f>
        <v/>
      </c>
      <c r="K200">
        <f>IF(J200="","",IF(J200&gt;200,"YES",""))</f>
        <v/>
      </c>
    </row>
    <row r="201">
      <c r="G201" s="4" t="n"/>
      <c r="J201" s="4">
        <f>IF(B201="","",SUMIF($B$5:$B$204,B201,$G$5:$G$204))</f>
        <v/>
      </c>
      <c r="K201">
        <f>IF(J201="","",IF(J201&gt;200,"YES",""))</f>
        <v/>
      </c>
    </row>
    <row r="202">
      <c r="G202" s="4" t="n"/>
      <c r="J202" s="4">
        <f>IF(B202="","",SUMIF($B$5:$B$204,B202,$G$5:$G$204))</f>
        <v/>
      </c>
      <c r="K202">
        <f>IF(J202="","",IF(J202&gt;200,"YES",""))</f>
        <v/>
      </c>
    </row>
    <row r="203">
      <c r="G203" s="4" t="n"/>
      <c r="J203" s="4">
        <f>IF(B203="","",SUMIF($B$5:$B$204,B203,$G$5:$G$204))</f>
        <v/>
      </c>
      <c r="K203">
        <f>IF(J203="","",IF(J203&gt;200,"YES",""))</f>
        <v/>
      </c>
    </row>
    <row r="204">
      <c r="G204" s="4" t="n"/>
      <c r="J204" s="4">
        <f>IF(B204="","",SUMIF($B$5:$B$204,B204,$G$5:$G$204))</f>
        <v/>
      </c>
      <c r="K204">
        <f>IF(J204="","",IF(J204&gt;200,"YES",""))</f>
        <v/>
      </c>
    </row>
    <row r="205">
      <c r="F205" s="5" t="inlineStr">
        <is>
          <t>TOTAL RAISED:</t>
        </is>
      </c>
      <c r="G205" s="6">
        <f>SUM(G5:G204)</f>
        <v/>
      </c>
    </row>
  </sheetData>
  <mergeCells count="2">
    <mergeCell ref="A2:M2"/>
    <mergeCell ref="A1:M1"/>
  </mergeCells>
  <dataValidations count="2">
    <dataValidation sqref="H5:H204" showDropDown="0" showInputMessage="0" showErrorMessage="0" allowBlank="1" type="list">
      <formula1>"Primary,General,Special,Runoff"</formula1>
    </dataValidation>
    <dataValidation sqref="I5:I204" showDropDown="0" showInputMessage="0" showErrorMessage="0" allowBlank="1" type="list">
      <formula1>"Check,Credit Card,Cash,In-Kind,ACH,Other"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CONTRIBUTION TRACKER — how to use</t>
        </is>
      </c>
    </row>
    <row r="2">
      <c r="A2" s="7" t="inlineStr"/>
    </row>
    <row r="3">
      <c r="A3" s="7" t="inlineStr">
        <is>
          <t>1. Log every contribution the day it is received.</t>
        </is>
      </c>
    </row>
    <row r="4">
      <c r="A4" s="7" t="inlineStr">
        <is>
          <t>2. 'Aggregate to Date' auto-sums all gifts from the same donor name — match names exactly.</t>
        </is>
      </c>
    </row>
    <row r="5">
      <c r="A5" s="7" t="inlineStr">
        <is>
          <t>3. When aggregate exceeds $200, the 'Itemize?' column flags YES: you must record</t>
        </is>
      </c>
    </row>
    <row r="6">
      <c r="A6" s="7" t="inlineStr">
        <is>
          <t xml:space="preserve">   name, address, occupation, and employer for FEC itemized reporting.</t>
        </is>
      </c>
    </row>
    <row r="7">
      <c r="A7" s="7" t="inlineStr">
        <is>
          <t>4. Track Primary and General separately — each has its own $3,300 individual limit (2025-26).</t>
        </is>
      </c>
    </row>
    <row r="8">
      <c r="A8" s="7" t="inlineStr">
        <is>
          <t>5. Resolve any excessive contribution within 30 days (refund / redesignate / reattribute).</t>
        </is>
      </c>
    </row>
    <row r="9">
      <c r="A9" s="7" t="inlineStr"/>
    </row>
    <row r="10">
      <c r="A10" s="7" t="inlineStr">
        <is>
          <t>Limits are for the 2025-2026 federal cycle. VERIFY current limits at fec.gov.</t>
        </is>
      </c>
    </row>
    <row r="11">
      <c r="A11" s="7" t="inlineStr">
        <is>
          <t>Educational template, not legal advice. Never store SSNs or bank credentials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2026-06-17T02:25:01Z</dcterms:created>
  <dcterms:modified xsi:type="dcterms:W3CDTF">2026-06-17T02:25:01Z</dcterms:modified>
</cp:coreProperties>
</file>