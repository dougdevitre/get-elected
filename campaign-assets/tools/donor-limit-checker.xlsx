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 Che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color rgb="FF0A1F44"/>
      <sz val="14"/>
    </font>
    <font>
      <i val="1"/>
      <color rgb="FF64748B"/>
      <sz val="9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14" customWidth="1" min="5" max="5"/>
    <col width="32" customWidth="1" min="6" max="6"/>
    <col width="3" customWidth="1" min="7" max="7"/>
    <col width="24" customWidth="1" min="8" max="8"/>
    <col width="16" customWidth="1" min="9" max="9"/>
  </cols>
  <sheetData>
    <row r="1" ht="20" customHeight="1">
      <c r="A1" s="1" t="inlineStr">
        <is>
          <t>Donor Limit Checker</t>
        </is>
      </c>
    </row>
    <row r="2">
      <c r="A2" s="2" t="inlineStr">
        <is>
          <t>Enter what a donor has given per election; see remaining headroom. 2025-26 federal limits.</t>
        </is>
      </c>
    </row>
    <row r="4">
      <c r="A4" s="3" t="inlineStr">
        <is>
          <t>Donor / Entity type</t>
        </is>
      </c>
      <c r="B4" s="3" t="inlineStr">
        <is>
          <t>Election</t>
        </is>
      </c>
      <c r="C4" s="3" t="inlineStr">
        <is>
          <t>Given so far</t>
        </is>
      </c>
      <c r="D4" s="3" t="inlineStr">
        <is>
          <t>Limit</t>
        </is>
      </c>
      <c r="E4" s="3" t="inlineStr">
        <is>
          <t>Remaining</t>
        </is>
      </c>
      <c r="F4" s="3" t="inlineStr">
        <is>
          <t>Status</t>
        </is>
      </c>
      <c r="H4" t="inlineStr">
        <is>
          <t>Type</t>
        </is>
      </c>
      <c r="I4" t="inlineStr">
        <is>
          <t>Per-election limit</t>
        </is>
      </c>
    </row>
    <row r="5">
      <c r="C5" s="4" t="n"/>
      <c r="D5" s="4">
        <f>IFERROR(VLOOKUP(A5,$H$5:$I$8,2,FALSE),"")</f>
        <v/>
      </c>
      <c r="E5" s="4">
        <f>IF(OR(A5="",C5=""),"",D5-C5)</f>
        <v/>
      </c>
      <c r="F5">
        <f>IF(OR(A5="",C5=""),"",IF(C5&gt;D5,"OVER LIMIT — refund/redesignate",IF(C5=D5,"At max","OK")))</f>
        <v/>
      </c>
      <c r="H5" t="inlineStr">
        <is>
          <t>Individual</t>
        </is>
      </c>
      <c r="I5" s="5" t="n">
        <v>3300</v>
      </c>
    </row>
    <row r="6">
      <c r="C6" s="4" t="n"/>
      <c r="D6" s="4">
        <f>IFERROR(VLOOKUP(A6,$H$5:$I$8,2,FALSE),"")</f>
        <v/>
      </c>
      <c r="E6" s="4">
        <f>IF(OR(A6="",C6=""),"",D6-C6)</f>
        <v/>
      </c>
      <c r="F6">
        <f>IF(OR(A6="",C6=""),"",IF(C6&gt;D6,"OVER LIMIT — refund/redesignate",IF(C6=D6,"At max","OK")))</f>
        <v/>
      </c>
      <c r="H6" t="inlineStr">
        <is>
          <t>Multicandidate PAC</t>
        </is>
      </c>
      <c r="I6" s="5" t="n">
        <v>5000</v>
      </c>
    </row>
    <row r="7">
      <c r="C7" s="4" t="n"/>
      <c r="D7" s="4">
        <f>IFERROR(VLOOKUP(A7,$H$5:$I$8,2,FALSE),"")</f>
        <v/>
      </c>
      <c r="E7" s="4">
        <f>IF(OR(A7="",C7=""),"",D7-C7)</f>
        <v/>
      </c>
      <c r="F7">
        <f>IF(OR(A7="",C7=""),"",IF(C7&gt;D7,"OVER LIMIT — refund/redesignate",IF(C7=D7,"At max","OK")))</f>
        <v/>
      </c>
      <c r="H7" t="inlineStr">
        <is>
          <t>Party Committee</t>
        </is>
      </c>
      <c r="I7" s="5" t="n">
        <v>5000</v>
      </c>
    </row>
    <row r="8">
      <c r="C8" s="4" t="n"/>
      <c r="D8" s="4">
        <f>IFERROR(VLOOKUP(A8,$H$5:$I$8,2,FALSE),"")</f>
        <v/>
      </c>
      <c r="E8" s="4">
        <f>IF(OR(A8="",C8=""),"",D8-C8)</f>
        <v/>
      </c>
      <c r="F8">
        <f>IF(OR(A8="",C8=""),"",IF(C8&gt;D8,"OVER LIMIT — refund/redesignate",IF(C8=D8,"At max","OK")))</f>
        <v/>
      </c>
      <c r="H8" t="inlineStr">
        <is>
          <t>Non-Multicandidate PAC</t>
        </is>
      </c>
      <c r="I8" s="5" t="n">
        <v>2900</v>
      </c>
    </row>
    <row r="9">
      <c r="C9" s="4" t="n"/>
      <c r="D9" s="4">
        <f>IFERROR(VLOOKUP(A9,$H$5:$I$8,2,FALSE),"")</f>
        <v/>
      </c>
      <c r="E9" s="4">
        <f>IF(OR(A9="",C9=""),"",D9-C9)</f>
        <v/>
      </c>
      <c r="F9">
        <f>IF(OR(A9="",C9=""),"",IF(C9&gt;D9,"OVER LIMIT — refund/redesignate",IF(C9=D9,"At max","OK")))</f>
        <v/>
      </c>
    </row>
    <row r="10">
      <c r="C10" s="4" t="n"/>
      <c r="D10" s="4">
        <f>IFERROR(VLOOKUP(A10,$H$5:$I$8,2,FALSE),"")</f>
        <v/>
      </c>
      <c r="E10" s="4">
        <f>IF(OR(A10="",C10=""),"",D10-C10)</f>
        <v/>
      </c>
      <c r="F10">
        <f>IF(OR(A10="",C10=""),"",IF(C10&gt;D10,"OVER LIMIT — refund/redesignate",IF(C10=D10,"At max","OK")))</f>
        <v/>
      </c>
    </row>
    <row r="11">
      <c r="C11" s="4" t="n"/>
      <c r="D11" s="4">
        <f>IFERROR(VLOOKUP(A11,$H$5:$I$8,2,FALSE),"")</f>
        <v/>
      </c>
      <c r="E11" s="4">
        <f>IF(OR(A11="",C11=""),"",D11-C11)</f>
        <v/>
      </c>
      <c r="F11">
        <f>IF(OR(A11="",C11=""),"",IF(C11&gt;D11,"OVER LIMIT — refund/redesignate",IF(C11=D11,"At max","OK")))</f>
        <v/>
      </c>
    </row>
    <row r="12">
      <c r="C12" s="4" t="n"/>
      <c r="D12" s="4">
        <f>IFERROR(VLOOKUP(A12,$H$5:$I$8,2,FALSE),"")</f>
        <v/>
      </c>
      <c r="E12" s="4">
        <f>IF(OR(A12="",C12=""),"",D12-C12)</f>
        <v/>
      </c>
      <c r="F12">
        <f>IF(OR(A12="",C12=""),"",IF(C12&gt;D12,"OVER LIMIT — refund/redesignate",IF(C12=D12,"At max","OK")))</f>
        <v/>
      </c>
    </row>
    <row r="13">
      <c r="C13" s="4" t="n"/>
      <c r="D13" s="4">
        <f>IFERROR(VLOOKUP(A13,$H$5:$I$8,2,FALSE),"")</f>
        <v/>
      </c>
      <c r="E13" s="4">
        <f>IF(OR(A13="",C13=""),"",D13-C13)</f>
        <v/>
      </c>
      <c r="F13">
        <f>IF(OR(A13="",C13=""),"",IF(C13&gt;D13,"OVER LIMIT — refund/redesignate",IF(C13=D13,"At max","OK")))</f>
        <v/>
      </c>
    </row>
    <row r="14">
      <c r="C14" s="4" t="n"/>
      <c r="D14" s="4">
        <f>IFERROR(VLOOKUP(A14,$H$5:$I$8,2,FALSE),"")</f>
        <v/>
      </c>
      <c r="E14" s="4">
        <f>IF(OR(A14="",C14=""),"",D14-C14)</f>
        <v/>
      </c>
      <c r="F14">
        <f>IF(OR(A14="",C14=""),"",IF(C14&gt;D14,"OVER LIMIT — refund/redesignate",IF(C14=D14,"At max","OK")))</f>
        <v/>
      </c>
    </row>
    <row r="15">
      <c r="C15" s="4" t="n"/>
      <c r="D15" s="4">
        <f>IFERROR(VLOOKUP(A15,$H$5:$I$8,2,FALSE),"")</f>
        <v/>
      </c>
      <c r="E15" s="4">
        <f>IF(OR(A15="",C15=""),"",D15-C15)</f>
        <v/>
      </c>
      <c r="F15">
        <f>IF(OR(A15="",C15=""),"",IF(C15&gt;D15,"OVER LIMIT — refund/redesignate",IF(C15=D15,"At max","OK")))</f>
        <v/>
      </c>
    </row>
    <row r="16">
      <c r="C16" s="4" t="n"/>
      <c r="D16" s="4">
        <f>IFERROR(VLOOKUP(A16,$H$5:$I$8,2,FALSE),"")</f>
        <v/>
      </c>
      <c r="E16" s="4">
        <f>IF(OR(A16="",C16=""),"",D16-C16)</f>
        <v/>
      </c>
      <c r="F16">
        <f>IF(OR(A16="",C16=""),"",IF(C16&gt;D16,"OVER LIMIT — refund/redesignate",IF(C16=D16,"At max","OK")))</f>
        <v/>
      </c>
    </row>
    <row r="17">
      <c r="C17" s="4" t="n"/>
      <c r="D17" s="4">
        <f>IFERROR(VLOOKUP(A17,$H$5:$I$8,2,FALSE),"")</f>
        <v/>
      </c>
      <c r="E17" s="4">
        <f>IF(OR(A17="",C17=""),"",D17-C17)</f>
        <v/>
      </c>
      <c r="F17">
        <f>IF(OR(A17="",C17=""),"",IF(C17&gt;D17,"OVER LIMIT — refund/redesignate",IF(C17=D17,"At max","OK")))</f>
        <v/>
      </c>
    </row>
    <row r="18">
      <c r="C18" s="4" t="n"/>
      <c r="D18" s="4">
        <f>IFERROR(VLOOKUP(A18,$H$5:$I$8,2,FALSE),"")</f>
        <v/>
      </c>
      <c r="E18" s="4">
        <f>IF(OR(A18="",C18=""),"",D18-C18)</f>
        <v/>
      </c>
      <c r="F18">
        <f>IF(OR(A18="",C18=""),"",IF(C18&gt;D18,"OVER LIMIT — refund/redesignate",IF(C18=D18,"At max","OK")))</f>
        <v/>
      </c>
    </row>
    <row r="19">
      <c r="C19" s="4" t="n"/>
      <c r="D19" s="4">
        <f>IFERROR(VLOOKUP(A19,$H$5:$I$8,2,FALSE),"")</f>
        <v/>
      </c>
      <c r="E19" s="4">
        <f>IF(OR(A19="",C19=""),"",D19-C19)</f>
        <v/>
      </c>
      <c r="F19">
        <f>IF(OR(A19="",C19=""),"",IF(C19&gt;D19,"OVER LIMIT — refund/redesignate",IF(C19=D19,"At max","OK")))</f>
        <v/>
      </c>
    </row>
    <row r="20">
      <c r="C20" s="4" t="n"/>
      <c r="D20" s="4">
        <f>IFERROR(VLOOKUP(A20,$H$5:$I$8,2,FALSE),"")</f>
        <v/>
      </c>
      <c r="E20" s="4">
        <f>IF(OR(A20="",C20=""),"",D20-C20)</f>
        <v/>
      </c>
      <c r="F20">
        <f>IF(OR(A20="",C20=""),"",IF(C20&gt;D20,"OVER LIMIT — refund/redesignate",IF(C20=D20,"At max","OK")))</f>
        <v/>
      </c>
    </row>
    <row r="21">
      <c r="C21" s="4" t="n"/>
      <c r="D21" s="4">
        <f>IFERROR(VLOOKUP(A21,$H$5:$I$8,2,FALSE),"")</f>
        <v/>
      </c>
      <c r="E21" s="4">
        <f>IF(OR(A21="",C21=""),"",D21-C21)</f>
        <v/>
      </c>
      <c r="F21">
        <f>IF(OR(A21="",C21=""),"",IF(C21&gt;D21,"OVER LIMIT — refund/redesignate",IF(C21=D21,"At max","OK")))</f>
        <v/>
      </c>
    </row>
    <row r="22">
      <c r="C22" s="4" t="n"/>
      <c r="D22" s="4">
        <f>IFERROR(VLOOKUP(A22,$H$5:$I$8,2,FALSE),"")</f>
        <v/>
      </c>
      <c r="E22" s="4">
        <f>IF(OR(A22="",C22=""),"",D22-C22)</f>
        <v/>
      </c>
      <c r="F22">
        <f>IF(OR(A22="",C22=""),"",IF(C22&gt;D22,"OVER LIMIT — refund/redesignate",IF(C22=D22,"At max","OK")))</f>
        <v/>
      </c>
    </row>
    <row r="23">
      <c r="C23" s="4" t="n"/>
      <c r="D23" s="4">
        <f>IFERROR(VLOOKUP(A23,$H$5:$I$8,2,FALSE),"")</f>
        <v/>
      </c>
      <c r="E23" s="4">
        <f>IF(OR(A23="",C23=""),"",D23-C23)</f>
        <v/>
      </c>
      <c r="F23">
        <f>IF(OR(A23="",C23=""),"",IF(C23&gt;D23,"OVER LIMIT — refund/redesignate",IF(C23=D23,"At max","OK")))</f>
        <v/>
      </c>
    </row>
    <row r="24">
      <c r="C24" s="4" t="n"/>
      <c r="D24" s="4">
        <f>IFERROR(VLOOKUP(A24,$H$5:$I$8,2,FALSE),"")</f>
        <v/>
      </c>
      <c r="E24" s="4">
        <f>IF(OR(A24="",C24=""),"",D24-C24)</f>
        <v/>
      </c>
      <c r="F24">
        <f>IF(OR(A24="",C24=""),"",IF(C24&gt;D24,"OVER LIMIT — refund/redesignate",IF(C24=D24,"At max","OK")))</f>
        <v/>
      </c>
    </row>
    <row r="26">
      <c r="A26" s="2" t="inlineStr">
        <is>
          <t>Corporations &amp; unions: prohibited from direct contributions. Primary &amp; general are separate elections.</t>
        </is>
      </c>
    </row>
    <row r="27">
      <c r="A27" s="2" t="inlineStr">
        <is>
          <t>Limits reflect the 2025-2026 cycle. VERIFY at fec.gov. Educational tool, not legal advice.</t>
        </is>
      </c>
    </row>
  </sheetData>
  <mergeCells count="2">
    <mergeCell ref="A1:D1"/>
    <mergeCell ref="A2:D2"/>
  </mergeCells>
  <dataValidations count="2">
    <dataValidation sqref="A5:A24" showDropDown="0" showInputMessage="0" showErrorMessage="0" allowBlank="1" type="list">
      <formula1>"Individual,Multicandidate PAC,Non-Multicandidate PAC,Party Committee"</formula1>
    </dataValidation>
    <dataValidation sqref="B5:B24" showDropDown="0" showInputMessage="0" showErrorMessage="0" allowBlank="1" type="list">
      <formula1>"Primary,General,Special,Runoff"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2026-06-17T02:25:01Z</dcterms:created>
  <dcterms:modified xsi:type="dcterms:W3CDTF">2026-06-17T02:25:01Z</dcterms:modified>
</cp:coreProperties>
</file>